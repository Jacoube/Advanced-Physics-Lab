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cobbalek/Documents/The Ohio State University/PHYS 5700 Adv Physics Lab/PHYS 5700 Adv Physics Lab Spring 2026/Earths Field NMR/"/>
    </mc:Choice>
  </mc:AlternateContent>
  <xr:revisionPtr revIDLastSave="0" documentId="13_ncr:1_{94513A3C-C967-E045-8758-199BA4D882E9}" xr6:coauthVersionLast="47" xr6:coauthVersionMax="47" xr10:uidLastSave="{00000000-0000-0000-0000-000000000000}"/>
  <bookViews>
    <workbookView xWindow="15120" yWindow="680" windowWidth="15120" windowHeight="17380" xr2:uid="{F4DDE004-3C37-2A4F-886D-3F008B72AF61}"/>
  </bookViews>
  <sheets>
    <sheet name="Day 1 Resonance Curve" sheetId="1" r:id="rId1"/>
    <sheet name="Sheet2" sheetId="2" r:id="rId2"/>
  </sheets>
  <definedNames>
    <definedName name="_xlchart.v1.2" hidden="1">'Day 1 Resonance Curve'!$A$2:$A$13</definedName>
    <definedName name="_xlchart.v1.3" hidden="1">'Day 1 Resonance Curve'!$B$2:$B$13</definedName>
    <definedName name="_xlchart.v2.0" hidden="1">'Day 1 Resonance Curve'!$A$2:$A$13</definedName>
    <definedName name="_xlchart.v2.1" hidden="1">'Day 1 Resonance Curve'!$B$2:$B$13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1" l="1"/>
  <c r="C14" i="1"/>
  <c r="C12" i="1"/>
  <c r="C11" i="1"/>
  <c r="C10" i="1"/>
  <c r="C9" i="1"/>
  <c r="C8" i="1"/>
  <c r="C7" i="1"/>
  <c r="C5" i="1"/>
  <c r="C6" i="1"/>
  <c r="C4" i="1"/>
  <c r="C3" i="1"/>
</calcChain>
</file>

<file path=xl/sharedStrings.xml><?xml version="1.0" encoding="utf-8"?>
<sst xmlns="http://schemas.openxmlformats.org/spreadsheetml/2006/main" count="20" uniqueCount="20">
  <si>
    <t>Description</t>
  </si>
  <si>
    <t>Capacitance (nF)</t>
  </si>
  <si>
    <t>4.416 nF</t>
  </si>
  <si>
    <t>V_R (V) Amplitude</t>
  </si>
  <si>
    <t>V_R (V) Peak-to-Peak</t>
  </si>
  <si>
    <t>3.3366nF 3.36nF 100.5pF</t>
  </si>
  <si>
    <t>4.416nF 3.36nF 1.0256nF 987.8pF</t>
  </si>
  <si>
    <t>4.416 nF 1 1.0256 nF 1 987.8nF</t>
  </si>
  <si>
    <t>4.416 nF 1 1.4909</t>
  </si>
  <si>
    <t>4.416 nF 1 1.0256</t>
  </si>
  <si>
    <t>4.416nF 3.36nF 1.0256nF 1.3690nF</t>
  </si>
  <si>
    <t>4.416nF 3.36nF 3.3366nF</t>
  </si>
  <si>
    <t>4.416nF 1.409nF 3.36nF</t>
  </si>
  <si>
    <t>4.416nF 3.36nF 1.025nF</t>
  </si>
  <si>
    <t>4.416nF 1.4909nF 1.3690nF 987.8pF</t>
  </si>
  <si>
    <t>4.416nF 1.4909nF 1.3690nF</t>
  </si>
  <si>
    <t>4.416nF 3.36nF</t>
  </si>
  <si>
    <t>4.416nF 3.3366nF</t>
  </si>
  <si>
    <t>4.507nF 1.0256nF 1.4909nF 1.3690nF 100.5pF</t>
  </si>
  <si>
    <t>4.507nF 1.0256nF 1.4909nF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</si>
</sst>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'Day 1 Resonance Curve'!$C$2:$C$17</c:f>
              <c:numCache>
                <c:formatCode>General</c:formatCode>
                <c:ptCount val="16"/>
                <c:pt idx="0">
                  <c:v>4.4160000000000004</c:v>
                </c:pt>
                <c:pt idx="1">
                  <c:v>5.4416000000000002</c:v>
                </c:pt>
                <c:pt idx="2">
                  <c:v>5.9069000000000003</c:v>
                </c:pt>
                <c:pt idx="3">
                  <c:v>6.4294000000000002</c:v>
                </c:pt>
                <c:pt idx="4">
                  <c:v>6.7971000000000004</c:v>
                </c:pt>
                <c:pt idx="5">
                  <c:v>7.2759</c:v>
                </c:pt>
                <c:pt idx="6">
                  <c:v>8.2637</c:v>
                </c:pt>
                <c:pt idx="7">
                  <c:v>8.8010000000000002</c:v>
                </c:pt>
                <c:pt idx="8">
                  <c:v>9.1850000000000005</c:v>
                </c:pt>
                <c:pt idx="9">
                  <c:v>9.7873999999999999</c:v>
                </c:pt>
                <c:pt idx="10">
                  <c:v>10.1706</c:v>
                </c:pt>
                <c:pt idx="11">
                  <c:v>11.1126</c:v>
                </c:pt>
                <c:pt idx="12">
                  <c:v>7.7759999999999998</c:v>
                </c:pt>
                <c:pt idx="13">
                  <c:v>7.7526000000000002</c:v>
                </c:pt>
                <c:pt idx="14">
                  <c:v>7.0235000000000003</c:v>
                </c:pt>
                <c:pt idx="15">
                  <c:v>8.4930000000000003</c:v>
                </c:pt>
              </c:numCache>
            </c:numRef>
          </c:xVal>
          <c:yVal>
            <c:numRef>
              <c:f>'Day 1 Resonance Curve'!$A$2:$A$17</c:f>
              <c:numCache>
                <c:formatCode>General</c:formatCode>
                <c:ptCount val="16"/>
                <c:pt idx="0">
                  <c:v>192</c:v>
                </c:pt>
                <c:pt idx="1">
                  <c:v>266</c:v>
                </c:pt>
                <c:pt idx="2">
                  <c:v>318</c:v>
                </c:pt>
                <c:pt idx="3">
                  <c:v>388</c:v>
                </c:pt>
                <c:pt idx="4">
                  <c:v>480</c:v>
                </c:pt>
                <c:pt idx="5">
                  <c:v>652</c:v>
                </c:pt>
                <c:pt idx="6">
                  <c:v>656</c:v>
                </c:pt>
                <c:pt idx="7">
                  <c:v>468</c:v>
                </c:pt>
                <c:pt idx="8">
                  <c:v>364</c:v>
                </c:pt>
                <c:pt idx="9">
                  <c:v>288</c:v>
                </c:pt>
                <c:pt idx="10">
                  <c:v>252</c:v>
                </c:pt>
                <c:pt idx="11">
                  <c:v>184</c:v>
                </c:pt>
                <c:pt idx="12">
                  <c:v>696</c:v>
                </c:pt>
                <c:pt idx="13">
                  <c:v>700</c:v>
                </c:pt>
                <c:pt idx="14">
                  <c:v>560</c:v>
                </c:pt>
                <c:pt idx="15">
                  <c:v>556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864-0847-ACB5-DFC0CDB460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0941759"/>
        <c:axId val="629176319"/>
      </c:scatterChart>
      <c:valAx>
        <c:axId val="5409417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9176319"/>
        <c:crosses val="autoZero"/>
        <c:crossBetween val="midCat"/>
      </c:valAx>
      <c:valAx>
        <c:axId val="629176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9417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476250</xdr:colOff>
      <xdr:row>2</xdr:row>
      <xdr:rowOff>146050</xdr:rowOff>
    </xdr:from>
    <xdr:to>
      <xdr:col>11</xdr:col>
      <xdr:colOff>95250</xdr:colOff>
      <xdr:row>16</xdr:row>
      <xdr:rowOff>44450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E18B840-4B60-4D17-3694-DD5A24B3ED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AE632-DB86-9246-88B0-E2BEC520B6D4}">
  <dimension ref="A1:D17"/>
  <sheetViews>
    <sheetView tabSelected="1" workbookViewId="0">
      <selection activeCell="A20" sqref="A20"/>
    </sheetView>
  </sheetViews>
  <sheetFormatPr baseColWidth="10" defaultRowHeight="16" x14ac:dyDescent="0.2"/>
  <cols>
    <col min="1" max="1" width="16" bestFit="1" customWidth="1"/>
    <col min="2" max="2" width="19" bestFit="1" customWidth="1"/>
    <col min="3" max="3" width="15.33203125" bestFit="1" customWidth="1"/>
    <col min="4" max="4" width="30.6640625" bestFit="1" customWidth="1"/>
  </cols>
  <sheetData>
    <row r="1" spans="1:4" x14ac:dyDescent="0.2">
      <c r="A1" s="1" t="s">
        <v>3</v>
      </c>
      <c r="B1" s="1" t="s">
        <v>4</v>
      </c>
      <c r="C1" s="1" t="s">
        <v>1</v>
      </c>
      <c r="D1" s="1" t="s">
        <v>0</v>
      </c>
    </row>
    <row r="2" spans="1:4" x14ac:dyDescent="0.2">
      <c r="A2">
        <v>192</v>
      </c>
      <c r="B2">
        <v>202</v>
      </c>
      <c r="C2">
        <v>4.4160000000000004</v>
      </c>
      <c r="D2" t="s">
        <v>2</v>
      </c>
    </row>
    <row r="3" spans="1:4" x14ac:dyDescent="0.2">
      <c r="A3">
        <v>266</v>
      </c>
      <c r="B3">
        <v>276</v>
      </c>
      <c r="C3">
        <f>4.416 + 1.0256</f>
        <v>5.4416000000000002</v>
      </c>
      <c r="D3" t="s">
        <v>9</v>
      </c>
    </row>
    <row r="4" spans="1:4" x14ac:dyDescent="0.2">
      <c r="A4">
        <v>318</v>
      </c>
      <c r="B4">
        <v>330</v>
      </c>
      <c r="C4">
        <f>4.416 + 1.4909</f>
        <v>5.9069000000000003</v>
      </c>
      <c r="D4" t="s">
        <v>8</v>
      </c>
    </row>
    <row r="5" spans="1:4" x14ac:dyDescent="0.2">
      <c r="A5">
        <v>388</v>
      </c>
      <c r="B5">
        <v>400</v>
      </c>
      <c r="C5">
        <f>4.416+1.0256+0.9878</f>
        <v>6.4294000000000002</v>
      </c>
      <c r="D5" t="s">
        <v>7</v>
      </c>
    </row>
    <row r="6" spans="1:4" x14ac:dyDescent="0.2">
      <c r="A6">
        <v>480</v>
      </c>
      <c r="B6">
        <v>492</v>
      </c>
      <c r="C6">
        <f>3.3366+3.36+0.1005</f>
        <v>6.7971000000000004</v>
      </c>
      <c r="D6" t="s">
        <v>5</v>
      </c>
    </row>
    <row r="7" spans="1:4" x14ac:dyDescent="0.2">
      <c r="A7">
        <v>652</v>
      </c>
      <c r="B7">
        <v>668</v>
      </c>
      <c r="C7">
        <f>4.416 + 1.4909+1.369</f>
        <v>7.2759</v>
      </c>
      <c r="D7" t="s">
        <v>15</v>
      </c>
    </row>
    <row r="8" spans="1:4" x14ac:dyDescent="0.2">
      <c r="A8">
        <v>656</v>
      </c>
      <c r="B8">
        <v>668</v>
      </c>
      <c r="C8">
        <f>4.416+1.4909+1.369+0.9878</f>
        <v>8.2637</v>
      </c>
      <c r="D8" t="s">
        <v>14</v>
      </c>
    </row>
    <row r="9" spans="1:4" x14ac:dyDescent="0.2">
      <c r="A9">
        <v>468</v>
      </c>
      <c r="B9">
        <v>480</v>
      </c>
      <c r="C9">
        <f>4.416+3.36+1.025</f>
        <v>8.8010000000000002</v>
      </c>
      <c r="D9" t="s">
        <v>13</v>
      </c>
    </row>
    <row r="10" spans="1:4" x14ac:dyDescent="0.2">
      <c r="A10">
        <v>364</v>
      </c>
      <c r="B10">
        <v>376</v>
      </c>
      <c r="C10">
        <f>4.416 + 1.409 + 3.36</f>
        <v>9.1850000000000005</v>
      </c>
      <c r="D10" t="s">
        <v>12</v>
      </c>
    </row>
    <row r="11" spans="1:4" x14ac:dyDescent="0.2">
      <c r="A11">
        <v>288</v>
      </c>
      <c r="B11">
        <v>304</v>
      </c>
      <c r="C11">
        <f>4.414+3.36+1.0256+0.9878</f>
        <v>9.7873999999999999</v>
      </c>
      <c r="D11" t="s">
        <v>6</v>
      </c>
    </row>
    <row r="12" spans="1:4" x14ac:dyDescent="0.2">
      <c r="A12">
        <v>252</v>
      </c>
      <c r="B12">
        <v>260</v>
      </c>
      <c r="C12">
        <f>4.416+3.36+1.0256+1.369</f>
        <v>10.1706</v>
      </c>
      <c r="D12" t="s">
        <v>10</v>
      </c>
    </row>
    <row r="13" spans="1:4" x14ac:dyDescent="0.2">
      <c r="A13">
        <v>184</v>
      </c>
      <c r="B13">
        <v>200</v>
      </c>
      <c r="C13">
        <v>11.1126</v>
      </c>
      <c r="D13" t="s">
        <v>11</v>
      </c>
    </row>
    <row r="14" spans="1:4" x14ac:dyDescent="0.2">
      <c r="A14">
        <v>696</v>
      </c>
      <c r="B14">
        <v>712</v>
      </c>
      <c r="C14">
        <f>4.416+3.36</f>
        <v>7.7759999999999998</v>
      </c>
      <c r="D14" t="s">
        <v>16</v>
      </c>
    </row>
    <row r="15" spans="1:4" x14ac:dyDescent="0.2">
      <c r="A15">
        <v>700</v>
      </c>
      <c r="B15">
        <v>712</v>
      </c>
      <c r="C15">
        <f>4.416+3.3366</f>
        <v>7.7526000000000002</v>
      </c>
      <c r="D15" t="s">
        <v>17</v>
      </c>
    </row>
    <row r="16" spans="1:4" x14ac:dyDescent="0.2">
      <c r="A16">
        <v>560</v>
      </c>
      <c r="B16">
        <v>576</v>
      </c>
      <c r="C16">
        <v>7.0235000000000003</v>
      </c>
      <c r="D16" t="s">
        <v>19</v>
      </c>
    </row>
    <row r="17" spans="1:4" x14ac:dyDescent="0.2">
      <c r="A17">
        <v>556</v>
      </c>
      <c r="B17">
        <v>568</v>
      </c>
      <c r="C17">
        <v>8.4930000000000003</v>
      </c>
      <c r="D17" t="s">
        <v>18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B5CDD-1657-5B40-A94D-C264260B1F48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Day 1 Resonance Curve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Balek, Jacob</dc:creator>
  <cp:lastModifiedBy>Balek, Jacob</cp:lastModifiedBy>
  <dcterms:created xsi:type="dcterms:W3CDTF">2026-04-06T17:23:01Z</dcterms:created>
  <dcterms:modified xsi:type="dcterms:W3CDTF">2026-04-06T20:16:33Z</dcterms:modified>
</cp:coreProperties>
</file>